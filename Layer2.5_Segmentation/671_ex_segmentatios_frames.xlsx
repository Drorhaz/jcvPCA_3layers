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rorhazan/Desktop/gaga_psilo/projects/3Layers_project/Layer2.5_Segmentation/"/>
    </mc:Choice>
  </mc:AlternateContent>
  <xr:revisionPtr revIDLastSave="0" documentId="8_{6550570C-E920-3B4A-8C15-E85FE95782D0}" xr6:coauthVersionLast="47" xr6:coauthVersionMax="47" xr10:uidLastSave="{00000000-0000-0000-0000-000000000000}"/>
  <bookViews>
    <workbookView xWindow="41500" yWindow="1960" windowWidth="30240" windowHeight="17400" xr2:uid="{00000000-000D-0000-FFFF-FFFF00000000}"/>
  </bookViews>
  <sheets>
    <sheet name="671 - T1P1R1" sheetId="1" r:id="rId1"/>
    <sheet name="671 - T1P1R2" sheetId="2" r:id="rId2"/>
    <sheet name="671 - T2P1R2" sheetId="3" r:id="rId3"/>
    <sheet name="671 - T3P1R1" sheetId="4" r:id="rId4"/>
    <sheet name="671 - T3P1R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rSvTcRM3yeJsq+BQ3MghbiDRvRDAGy+n9j1Oq695QE="/>
    </ext>
  </extLst>
</workbook>
</file>

<file path=xl/calcChain.xml><?xml version="1.0" encoding="utf-8"?>
<calcChain xmlns="http://schemas.openxmlformats.org/spreadsheetml/2006/main">
  <c r="R36" i="1" l="1"/>
  <c r="Y12" i="1"/>
  <c r="Y13" i="1"/>
  <c r="Y14" i="1"/>
  <c r="Y11" i="1"/>
  <c r="O12" i="1"/>
  <c r="O13" i="1"/>
  <c r="O14" i="1"/>
  <c r="O11" i="1"/>
</calcChain>
</file>

<file path=xl/sharedStrings.xml><?xml version="1.0" encoding="utf-8"?>
<sst xmlns="http://schemas.openxmlformats.org/spreadsheetml/2006/main" count="178" uniqueCount="30">
  <si>
    <t>exercise_id</t>
  </si>
  <si>
    <t>exercise_name</t>
  </si>
  <si>
    <t>reference_cue_time</t>
  </si>
  <si>
    <t>participant_start_time</t>
  </si>
  <si>
    <t>participant_end_time</t>
  </si>
  <si>
    <t>notes</t>
  </si>
  <si>
    <t>Bend over as far as you can and then roll up</t>
  </si>
  <si>
    <t>Look up and arch your spine</t>
  </si>
  <si>
    <t>Raise your arms over your head. Stretch your arms and yawn</t>
  </si>
  <si>
    <t>Create a wave across your arms from side to side</t>
  </si>
  <si>
    <t>Other side</t>
  </si>
  <si>
    <t>Look behind you and twist your spine</t>
  </si>
  <si>
    <t>Repeat on other side / arm rotation</t>
  </si>
  <si>
    <t>Switch</t>
  </si>
  <si>
    <t>Draw curves with your hands</t>
  </si>
  <si>
    <t>Add curves with your elbows</t>
  </si>
  <si>
    <t>Add curves with your shoulders</t>
  </si>
  <si>
    <t>Add curves with your nose</t>
  </si>
  <si>
    <t>Whole body curves</t>
  </si>
  <si>
    <t>Stand on one leg + curves</t>
  </si>
  <si>
    <t>Other leg + curves</t>
  </si>
  <si>
    <t>Shake as many body parts as possible</t>
  </si>
  <si>
    <t>Keep shaking as you dance</t>
  </si>
  <si>
    <t>start_seconds</t>
  </si>
  <si>
    <t>start_frame</t>
  </si>
  <si>
    <t>end_seconds</t>
  </si>
  <si>
    <t>end_frame_exclusive</t>
  </si>
  <si>
    <t>blank</t>
  </si>
  <si>
    <t>Gap next</t>
  </si>
  <si>
    <t>end_frame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</si>
</sst>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7" fontId="2" fillId="0" borderId="0" xfId="0" applyNumberFormat="1" applyFont="1"/>
    <xf numFmtId="20" fontId="2" fillId="0" borderId="0" xfId="0" applyNumberFormat="1" applyFont="1"/>
    <xf numFmtId="0" fontId="2" fillId="2" borderId="1" xfId="0" applyFont="1" applyFill="1" applyBorder="1"/>
    <xf numFmtId="0" fontId="3" fillId="0" borderId="0" xfId="0" applyFont="1"/>
    <xf numFmtId="20" fontId="0" fillId="0" borderId="0" xfId="0" applyNumberFormat="1"/>
    <xf numFmtId="20" fontId="3" fillId="0" borderId="0" xfId="0" applyNumberFormat="1" applyFont="1"/>
    <xf numFmtId="0" fontId="3" fillId="3" borderId="0" xfId="0" applyFont="1" applyFill="1"/>
    <xf numFmtId="20" fontId="3" fillId="3" borderId="0" xfId="0" applyNumberFormat="1" applyFont="1" applyFill="1"/>
    <xf numFmtId="0" fontId="0" fillId="3" borderId="0" xfId="0" applyFill="1"/>
    <xf numFmtId="20" fontId="0" fillId="3" borderId="0" xfId="0" applyNumberFormat="1" applyFill="1"/>
    <xf numFmtId="0" fontId="1" fillId="3" borderId="0" xfId="0" applyFont="1" applyFill="1"/>
    <xf numFmtId="47" fontId="2" fillId="3" borderId="0" xfId="0" applyNumberFormat="1" applyFont="1" applyFill="1"/>
    <xf numFmtId="20" fontId="2" fillId="3" borderId="0" xfId="0" applyNumberFormat="1" applyFont="1" applyFill="1"/>
    <xf numFmtId="2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M11" sqref="M11"/>
    </sheetView>
  </sheetViews>
  <sheetFormatPr baseColWidth="10" defaultColWidth="12.6640625" defaultRowHeight="15" customHeight="1" x14ac:dyDescent="0.2"/>
  <cols>
    <col min="1" max="1" width="10" customWidth="1"/>
    <col min="2" max="2" width="26.1640625" customWidth="1"/>
    <col min="3" max="3" width="18.5" customWidth="1"/>
    <col min="4" max="4" width="18" customWidth="1"/>
    <col min="5" max="5" width="17.1640625" customWidth="1"/>
    <col min="6" max="6" width="11.33203125" bestFit="1" customWidth="1"/>
    <col min="7" max="7" width="26.1640625" customWidth="1"/>
    <col min="8" max="8" width="8.6640625" customWidth="1"/>
    <col min="9" max="9" width="18.5" bestFit="1" customWidth="1"/>
    <col min="10" max="10" width="17.83203125" bestFit="1" customWidth="1"/>
    <col min="11" max="11" width="12" bestFit="1" customWidth="1"/>
    <col min="12" max="12" width="11.33203125" bestFit="1" customWidth="1"/>
    <col min="13" max="13" width="10" bestFit="1" customWidth="1"/>
    <col min="14" max="14" width="17.5" bestFit="1" customWidth="1"/>
    <col min="16" max="17" width="8.6640625" customWidth="1"/>
    <col min="18" max="18" width="45.83203125" bestFit="1" customWidth="1"/>
    <col min="19" max="22" width="8.6640625" customWidth="1"/>
    <col min="23" max="23" width="10" bestFit="1" customWidth="1"/>
    <col min="24" max="24" width="17.5" bestFit="1" customWidth="1"/>
    <col min="25" max="26" width="8.6640625" customWidth="1"/>
  </cols>
  <sheetData>
    <row r="1" spans="1:25" ht="14.2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5" t="s">
        <v>1</v>
      </c>
      <c r="H1" s="5" t="s">
        <v>0</v>
      </c>
      <c r="I1" s="5" t="s">
        <v>3</v>
      </c>
      <c r="J1" s="5" t="s">
        <v>4</v>
      </c>
      <c r="K1" s="5" t="s">
        <v>23</v>
      </c>
      <c r="L1" s="5" t="s">
        <v>25</v>
      </c>
      <c r="M1" s="5" t="s">
        <v>24</v>
      </c>
      <c r="N1" s="5" t="s">
        <v>26</v>
      </c>
      <c r="O1" s="5" t="s">
        <v>28</v>
      </c>
      <c r="R1" s="5" t="s">
        <v>1</v>
      </c>
      <c r="S1" s="5" t="s">
        <v>3</v>
      </c>
      <c r="T1" s="5" t="s">
        <v>4</v>
      </c>
      <c r="U1" s="5" t="s">
        <v>23</v>
      </c>
      <c r="V1" s="5" t="s">
        <v>25</v>
      </c>
      <c r="W1" s="5" t="s">
        <v>24</v>
      </c>
      <c r="X1" s="5" t="s">
        <v>26</v>
      </c>
    </row>
    <row r="2" spans="1:25" ht="14.25" customHeight="1" x14ac:dyDescent="0.2">
      <c r="A2" s="1">
        <v>1</v>
      </c>
      <c r="B2" s="1" t="s">
        <v>6</v>
      </c>
      <c r="C2" s="3">
        <v>4.9189814814814816E-3</v>
      </c>
      <c r="D2" s="3">
        <v>9.7222222222222224E-3</v>
      </c>
      <c r="E2" s="2">
        <v>2.3842592592592594E-5</v>
      </c>
      <c r="G2" s="5" t="s">
        <v>6</v>
      </c>
      <c r="H2" s="5">
        <v>1</v>
      </c>
      <c r="I2" s="7">
        <v>4.8611111111111112E-3</v>
      </c>
      <c r="J2" s="7">
        <v>9.7222222222222224E-3</v>
      </c>
      <c r="K2" s="5">
        <v>7</v>
      </c>
      <c r="L2" s="5">
        <v>14</v>
      </c>
      <c r="M2" s="5">
        <v>840</v>
      </c>
      <c r="N2" s="5">
        <v>1680</v>
      </c>
      <c r="R2" t="s">
        <v>6</v>
      </c>
      <c r="S2" s="6">
        <v>4.8611111111111112E-3</v>
      </c>
      <c r="T2" s="6">
        <v>9.7222222222222224E-3</v>
      </c>
      <c r="U2">
        <v>7</v>
      </c>
      <c r="V2">
        <v>14</v>
      </c>
      <c r="W2">
        <v>840</v>
      </c>
      <c r="X2">
        <v>1680</v>
      </c>
    </row>
    <row r="3" spans="1:25" ht="14.25" customHeight="1" x14ac:dyDescent="0.2">
      <c r="A3" s="1">
        <v>2</v>
      </c>
      <c r="B3" s="1" t="s">
        <v>7</v>
      </c>
      <c r="C3" s="3">
        <v>1.4641203703703703E-2</v>
      </c>
      <c r="D3" s="3">
        <v>2.5000000000000001E-2</v>
      </c>
      <c r="E3" s="2">
        <v>1.875E-4</v>
      </c>
      <c r="G3" s="5" t="s">
        <v>7</v>
      </c>
      <c r="H3" s="5">
        <v>2</v>
      </c>
      <c r="I3" s="7">
        <v>1.4583333333333334E-2</v>
      </c>
      <c r="J3" s="7">
        <v>2.5000000000000001E-2</v>
      </c>
      <c r="K3" s="5">
        <v>21</v>
      </c>
      <c r="L3" s="5">
        <v>36</v>
      </c>
      <c r="M3" s="5">
        <v>2520</v>
      </c>
      <c r="N3" s="5">
        <v>4320</v>
      </c>
      <c r="R3" t="s">
        <v>7</v>
      </c>
      <c r="S3" s="6">
        <v>1.4583333333333334E-2</v>
      </c>
      <c r="T3" s="6">
        <v>2.5000000000000001E-2</v>
      </c>
      <c r="U3">
        <v>21</v>
      </c>
      <c r="V3">
        <v>36</v>
      </c>
      <c r="W3">
        <v>2520</v>
      </c>
      <c r="X3">
        <v>4320</v>
      </c>
    </row>
    <row r="4" spans="1:25" ht="14.25" customHeight="1" x14ac:dyDescent="0.2">
      <c r="A4" s="1">
        <v>3</v>
      </c>
      <c r="B4" s="1" t="s">
        <v>8</v>
      </c>
      <c r="C4" s="3">
        <v>2.5694444444444443E-2</v>
      </c>
      <c r="D4" s="3">
        <v>3.4722222222222224E-2</v>
      </c>
      <c r="E4" s="2">
        <v>3.6180555555555559E-4</v>
      </c>
      <c r="G4" s="5" t="s">
        <v>8</v>
      </c>
      <c r="H4" s="5">
        <v>3</v>
      </c>
      <c r="I4" s="7">
        <v>2.5694444444444443E-2</v>
      </c>
      <c r="J4" s="7">
        <v>3.4722222222222224E-2</v>
      </c>
      <c r="K4" s="5">
        <v>37</v>
      </c>
      <c r="L4" s="5">
        <v>50</v>
      </c>
      <c r="M4" s="5">
        <v>4440</v>
      </c>
      <c r="N4" s="5">
        <v>6000</v>
      </c>
      <c r="R4" t="s">
        <v>8</v>
      </c>
      <c r="S4" s="6">
        <v>2.5694444444444443E-2</v>
      </c>
      <c r="T4" s="6">
        <v>3.4722222222222224E-2</v>
      </c>
      <c r="U4">
        <v>37</v>
      </c>
      <c r="V4">
        <v>50</v>
      </c>
      <c r="W4">
        <v>4440</v>
      </c>
      <c r="X4">
        <v>6000</v>
      </c>
    </row>
    <row r="5" spans="1:25" ht="14.25" customHeight="1" x14ac:dyDescent="0.2">
      <c r="A5" s="1">
        <v>4</v>
      </c>
      <c r="B5" s="1" t="s">
        <v>9</v>
      </c>
      <c r="C5" s="3">
        <v>4.0972222222222222E-2</v>
      </c>
      <c r="D5" s="3">
        <v>4.2361111111111113E-2</v>
      </c>
      <c r="E5" s="2">
        <v>5.8067129629629636E-4</v>
      </c>
      <c r="G5" s="5" t="s">
        <v>9</v>
      </c>
      <c r="H5" s="5">
        <v>4</v>
      </c>
      <c r="I5" s="7">
        <v>4.0972222222222222E-2</v>
      </c>
      <c r="J5" s="7">
        <v>4.2361111111111113E-2</v>
      </c>
      <c r="K5" s="5">
        <v>59</v>
      </c>
      <c r="L5" s="5">
        <v>61</v>
      </c>
      <c r="M5" s="5">
        <v>7080</v>
      </c>
      <c r="N5" s="5">
        <v>7320</v>
      </c>
      <c r="R5" t="s">
        <v>9</v>
      </c>
      <c r="S5" s="6">
        <v>4.0972222222222222E-2</v>
      </c>
      <c r="T5" s="6">
        <v>4.2361111111111113E-2</v>
      </c>
      <c r="U5">
        <v>59</v>
      </c>
      <c r="V5">
        <v>61</v>
      </c>
      <c r="W5">
        <v>7080</v>
      </c>
      <c r="X5">
        <v>7320</v>
      </c>
    </row>
    <row r="6" spans="1:25" ht="14.25" customHeight="1" x14ac:dyDescent="0.2">
      <c r="A6" s="1">
        <v>5</v>
      </c>
      <c r="B6" s="1" t="s">
        <v>10</v>
      </c>
      <c r="C6" s="3">
        <v>4.3113425925925923E-2</v>
      </c>
      <c r="D6" s="3">
        <v>4.5138888888888888E-2</v>
      </c>
      <c r="E6" s="2">
        <v>6.7291666666666672E-4</v>
      </c>
      <c r="G6" s="5" t="s">
        <v>10</v>
      </c>
      <c r="H6" s="5">
        <v>5</v>
      </c>
      <c r="I6" s="7">
        <v>4.3055555555555555E-2</v>
      </c>
      <c r="J6" s="7">
        <v>4.5138888888888888E-2</v>
      </c>
      <c r="K6" s="5">
        <v>62</v>
      </c>
      <c r="L6" s="5">
        <v>65</v>
      </c>
      <c r="M6" s="5">
        <v>7440</v>
      </c>
      <c r="N6" s="5">
        <v>7800</v>
      </c>
      <c r="R6" t="s">
        <v>10</v>
      </c>
      <c r="S6" s="6">
        <v>4.3055555555555555E-2</v>
      </c>
      <c r="T6" s="6">
        <v>4.5138888888888888E-2</v>
      </c>
      <c r="U6">
        <v>62</v>
      </c>
      <c r="V6">
        <v>65</v>
      </c>
      <c r="W6">
        <v>7440</v>
      </c>
      <c r="X6">
        <v>7800</v>
      </c>
    </row>
    <row r="7" spans="1:25" ht="14.25" customHeight="1" x14ac:dyDescent="0.2">
      <c r="A7" s="1">
        <v>6</v>
      </c>
      <c r="B7" s="1" t="s">
        <v>11</v>
      </c>
      <c r="C7" s="3">
        <v>5.2083333333333336E-2</v>
      </c>
      <c r="D7" s="3">
        <v>5.6250000000000001E-2</v>
      </c>
      <c r="E7" s="2">
        <v>7.8854166666666667E-4</v>
      </c>
      <c r="G7" s="5" t="s">
        <v>11</v>
      </c>
      <c r="H7" s="5">
        <v>6</v>
      </c>
      <c r="I7" s="7">
        <v>5.2083333333333336E-2</v>
      </c>
      <c r="J7" s="7">
        <v>5.6250000000000001E-2</v>
      </c>
      <c r="K7" s="5">
        <v>75</v>
      </c>
      <c r="L7" s="5">
        <v>81</v>
      </c>
      <c r="M7" s="5">
        <v>9000</v>
      </c>
      <c r="N7" s="5">
        <v>9720</v>
      </c>
      <c r="R7" t="s">
        <v>11</v>
      </c>
      <c r="S7" s="6">
        <v>5.2083333333333336E-2</v>
      </c>
      <c r="T7" s="6">
        <v>5.6250000000000001E-2</v>
      </c>
      <c r="U7">
        <v>75</v>
      </c>
      <c r="V7">
        <v>81</v>
      </c>
      <c r="W7">
        <v>9000</v>
      </c>
      <c r="X7">
        <v>9720</v>
      </c>
    </row>
    <row r="8" spans="1:25" ht="14.25" customHeight="1" x14ac:dyDescent="0.2">
      <c r="A8" s="1">
        <v>7</v>
      </c>
      <c r="B8" s="1" t="s">
        <v>12</v>
      </c>
      <c r="C8" s="3">
        <v>5.6944444444444443E-2</v>
      </c>
      <c r="D8" s="3">
        <v>6.0416666666666667E-2</v>
      </c>
      <c r="E8" s="2">
        <v>8.5856481481481493E-4</v>
      </c>
      <c r="G8" s="5" t="s">
        <v>12</v>
      </c>
      <c r="H8" s="5">
        <v>7</v>
      </c>
      <c r="I8" s="7">
        <v>5.6944444444444443E-2</v>
      </c>
      <c r="J8" s="7">
        <v>6.0416666666666667E-2</v>
      </c>
      <c r="K8" s="5">
        <v>82</v>
      </c>
      <c r="L8" s="5">
        <v>87</v>
      </c>
      <c r="M8" s="5">
        <v>9840</v>
      </c>
      <c r="N8" s="5">
        <v>10440</v>
      </c>
      <c r="R8" t="s">
        <v>12</v>
      </c>
      <c r="S8" s="6">
        <v>5.6944444444444443E-2</v>
      </c>
      <c r="T8" s="6">
        <v>6.0416666666666667E-2</v>
      </c>
      <c r="U8">
        <v>82</v>
      </c>
      <c r="V8">
        <v>87</v>
      </c>
      <c r="W8">
        <v>9840</v>
      </c>
      <c r="X8">
        <v>10440</v>
      </c>
    </row>
    <row r="9" spans="1:25" ht="14.25" customHeight="1" x14ac:dyDescent="0.2">
      <c r="A9" s="1">
        <v>8</v>
      </c>
      <c r="B9" s="1" t="s">
        <v>13</v>
      </c>
      <c r="C9" s="3">
        <v>6.6666666666666666E-2</v>
      </c>
      <c r="D9" s="3">
        <v>7.7777777777777779E-2</v>
      </c>
      <c r="E9" s="2">
        <v>1.1600694444444443E-3</v>
      </c>
      <c r="G9" s="5" t="s">
        <v>13</v>
      </c>
      <c r="H9" s="5">
        <v>8</v>
      </c>
      <c r="I9" s="7">
        <v>6.6666666666666666E-2</v>
      </c>
      <c r="J9" s="7">
        <v>7.7777777777777779E-2</v>
      </c>
      <c r="K9" s="5">
        <v>96</v>
      </c>
      <c r="L9" s="5">
        <v>112</v>
      </c>
      <c r="M9" s="5">
        <v>11520</v>
      </c>
      <c r="N9" s="5">
        <v>13440</v>
      </c>
      <c r="R9" t="s">
        <v>13</v>
      </c>
      <c r="S9" s="6">
        <v>6.6666666666666666E-2</v>
      </c>
      <c r="T9" s="6">
        <v>7.7777777777777779E-2</v>
      </c>
      <c r="U9">
        <v>96</v>
      </c>
      <c r="V9">
        <v>112</v>
      </c>
      <c r="W9">
        <v>11520</v>
      </c>
      <c r="X9">
        <v>13440</v>
      </c>
    </row>
    <row r="10" spans="1:25" ht="14.25" customHeight="1" x14ac:dyDescent="0.2">
      <c r="A10" s="1">
        <v>9</v>
      </c>
      <c r="B10" s="1" t="s">
        <v>14</v>
      </c>
      <c r="C10" s="3">
        <v>8.2638888888888887E-2</v>
      </c>
      <c r="D10" s="3">
        <v>8.819444444444445E-2</v>
      </c>
      <c r="E10" s="2">
        <v>1.2975694444444445E-3</v>
      </c>
      <c r="G10" s="8" t="s">
        <v>14</v>
      </c>
      <c r="H10" s="8">
        <v>9</v>
      </c>
      <c r="I10" s="9">
        <v>8.2638888888888887E-2</v>
      </c>
      <c r="J10" s="9">
        <v>8.819444444444445E-2</v>
      </c>
      <c r="K10" s="8">
        <v>119</v>
      </c>
      <c r="L10" s="8">
        <v>127</v>
      </c>
      <c r="M10" s="8">
        <v>14280</v>
      </c>
      <c r="N10" s="8">
        <v>15240</v>
      </c>
      <c r="R10" s="10" t="s">
        <v>14</v>
      </c>
      <c r="S10" s="11">
        <v>8.2638888888888887E-2</v>
      </c>
      <c r="T10" s="11">
        <v>8.819444444444445E-2</v>
      </c>
      <c r="U10" s="10">
        <v>119</v>
      </c>
      <c r="V10" s="10">
        <v>127</v>
      </c>
      <c r="W10" s="10">
        <v>14280</v>
      </c>
      <c r="X10" s="10">
        <v>15240</v>
      </c>
    </row>
    <row r="11" spans="1:25" ht="14.25" customHeight="1" x14ac:dyDescent="0.2">
      <c r="A11" s="1">
        <v>10</v>
      </c>
      <c r="B11" s="1" t="s">
        <v>15</v>
      </c>
      <c r="C11" s="3">
        <v>8.8888888888888892E-2</v>
      </c>
      <c r="D11" s="3">
        <v>9.583333333333334E-2</v>
      </c>
      <c r="E11" s="2">
        <v>1.4150462962962964E-3</v>
      </c>
      <c r="G11" s="8" t="s">
        <v>15</v>
      </c>
      <c r="H11" s="8">
        <v>10</v>
      </c>
      <c r="I11" s="9">
        <v>8.8888888888888892E-2</v>
      </c>
      <c r="J11" s="9">
        <v>9.583333333333334E-2</v>
      </c>
      <c r="K11" s="8">
        <v>128</v>
      </c>
      <c r="L11" s="8">
        <v>138</v>
      </c>
      <c r="M11" s="8">
        <v>15360</v>
      </c>
      <c r="N11" s="8">
        <v>16560</v>
      </c>
      <c r="O11">
        <f>M11-N10</f>
        <v>120</v>
      </c>
      <c r="R11" s="10" t="s">
        <v>15</v>
      </c>
      <c r="S11" s="11">
        <v>8.8888888888888892E-2</v>
      </c>
      <c r="T11" s="11">
        <v>9.583333333333334E-2</v>
      </c>
      <c r="U11" s="10">
        <v>128</v>
      </c>
      <c r="V11" s="10">
        <v>138</v>
      </c>
      <c r="W11" s="10">
        <v>15360</v>
      </c>
      <c r="X11" s="10">
        <v>16560</v>
      </c>
      <c r="Y11">
        <f>W11-X10</f>
        <v>120</v>
      </c>
    </row>
    <row r="12" spans="1:25" ht="14.25" customHeight="1" x14ac:dyDescent="0.2">
      <c r="A12" s="1">
        <v>11</v>
      </c>
      <c r="B12" s="1" t="s">
        <v>16</v>
      </c>
      <c r="C12" s="3">
        <v>9.6527777777777782E-2</v>
      </c>
      <c r="D12" s="3">
        <v>0.10486111111111111</v>
      </c>
      <c r="E12" s="2">
        <v>1.5515046296296297E-3</v>
      </c>
      <c r="G12" s="8" t="s">
        <v>16</v>
      </c>
      <c r="H12" s="8">
        <v>11</v>
      </c>
      <c r="I12" s="9">
        <v>9.6527777777777782E-2</v>
      </c>
      <c r="J12" s="9">
        <v>0.10486111111111111</v>
      </c>
      <c r="K12" s="8">
        <v>139</v>
      </c>
      <c r="L12" s="8">
        <v>151</v>
      </c>
      <c r="M12" s="8">
        <v>16680</v>
      </c>
      <c r="N12" s="8">
        <v>18120</v>
      </c>
      <c r="O12">
        <f t="shared" ref="O12:O14" si="0">M12-N11</f>
        <v>120</v>
      </c>
      <c r="R12" s="10" t="s">
        <v>16</v>
      </c>
      <c r="S12" s="11">
        <v>9.6527777777777782E-2</v>
      </c>
      <c r="T12" s="11">
        <v>0.10486111111111111</v>
      </c>
      <c r="U12" s="10">
        <v>139</v>
      </c>
      <c r="V12" s="10">
        <v>151</v>
      </c>
      <c r="W12" s="10">
        <v>16680</v>
      </c>
      <c r="X12" s="10">
        <v>18120</v>
      </c>
      <c r="Y12">
        <f t="shared" ref="Y12:Y14" si="1">W12-X11</f>
        <v>120</v>
      </c>
    </row>
    <row r="13" spans="1:25" ht="14.25" customHeight="1" x14ac:dyDescent="0.2">
      <c r="A13" s="1">
        <v>12</v>
      </c>
      <c r="B13" s="1" t="s">
        <v>17</v>
      </c>
      <c r="C13" s="3">
        <v>0.10555555555555556</v>
      </c>
      <c r="D13" s="3">
        <v>0.1125</v>
      </c>
      <c r="E13" s="2">
        <v>1.6784722222222223E-3</v>
      </c>
      <c r="G13" s="8" t="s">
        <v>17</v>
      </c>
      <c r="H13" s="8">
        <v>12</v>
      </c>
      <c r="I13" s="9">
        <v>0.10555555555555556</v>
      </c>
      <c r="J13" s="9">
        <v>0.1125</v>
      </c>
      <c r="K13" s="8">
        <v>152</v>
      </c>
      <c r="L13" s="8">
        <v>162</v>
      </c>
      <c r="M13" s="8">
        <v>18240</v>
      </c>
      <c r="N13" s="8">
        <v>19440</v>
      </c>
      <c r="O13">
        <f t="shared" si="0"/>
        <v>120</v>
      </c>
      <c r="R13" s="10" t="s">
        <v>17</v>
      </c>
      <c r="S13" s="11">
        <v>0.10555555555555556</v>
      </c>
      <c r="T13" s="11">
        <v>0.1125</v>
      </c>
      <c r="U13" s="10">
        <v>152</v>
      </c>
      <c r="V13" s="10">
        <v>162</v>
      </c>
      <c r="W13" s="10">
        <v>18240</v>
      </c>
      <c r="X13" s="10">
        <v>19440</v>
      </c>
      <c r="Y13">
        <f t="shared" si="1"/>
        <v>120</v>
      </c>
    </row>
    <row r="14" spans="1:25" ht="14.25" customHeight="1" x14ac:dyDescent="0.2">
      <c r="A14" s="1">
        <v>13</v>
      </c>
      <c r="B14" s="1" t="s">
        <v>18</v>
      </c>
      <c r="C14" s="3">
        <v>0.11319444444444444</v>
      </c>
      <c r="D14" s="3">
        <v>0.12152777777777778</v>
      </c>
      <c r="E14" s="2">
        <v>1.783449074074074E-3</v>
      </c>
      <c r="G14" s="8" t="s">
        <v>18</v>
      </c>
      <c r="H14" s="8">
        <v>13</v>
      </c>
      <c r="I14" s="9">
        <v>0.11319444444444444</v>
      </c>
      <c r="J14" s="9">
        <v>0.12152777777777778</v>
      </c>
      <c r="K14" s="8">
        <v>163</v>
      </c>
      <c r="L14" s="8">
        <v>175</v>
      </c>
      <c r="M14" s="8">
        <v>19560</v>
      </c>
      <c r="N14" s="8">
        <v>21000</v>
      </c>
      <c r="O14">
        <f t="shared" si="0"/>
        <v>120</v>
      </c>
      <c r="R14" s="10" t="s">
        <v>18</v>
      </c>
      <c r="S14" s="11">
        <v>0.11319444444444444</v>
      </c>
      <c r="T14" s="11">
        <v>0.12152777777777778</v>
      </c>
      <c r="U14" s="10">
        <v>163</v>
      </c>
      <c r="V14" s="10">
        <v>175</v>
      </c>
      <c r="W14" s="10">
        <v>19560</v>
      </c>
      <c r="X14" s="10">
        <v>21000</v>
      </c>
      <c r="Y14">
        <f t="shared" si="1"/>
        <v>120</v>
      </c>
    </row>
    <row r="15" spans="1:25" ht="14.25" customHeight="1" x14ac:dyDescent="0.2">
      <c r="A15" s="1">
        <v>14</v>
      </c>
      <c r="B15" s="1" t="s">
        <v>19</v>
      </c>
      <c r="C15" s="3">
        <v>0.125</v>
      </c>
      <c r="D15" s="3">
        <v>0.1361111111111111</v>
      </c>
      <c r="E15" s="2">
        <v>2.0040509259259261E-3</v>
      </c>
      <c r="G15" s="5" t="s">
        <v>19</v>
      </c>
      <c r="H15" s="5">
        <v>14</v>
      </c>
      <c r="I15" s="7">
        <v>0.125</v>
      </c>
      <c r="J15" s="7">
        <v>0.1361111111111111</v>
      </c>
      <c r="K15" s="5">
        <v>180</v>
      </c>
      <c r="L15" s="5">
        <v>196</v>
      </c>
      <c r="M15" s="5">
        <v>21600</v>
      </c>
      <c r="N15" s="5">
        <v>23520</v>
      </c>
      <c r="R15" t="s">
        <v>19</v>
      </c>
      <c r="S15" s="6">
        <v>0.125</v>
      </c>
      <c r="T15" s="6">
        <v>0.1361111111111111</v>
      </c>
      <c r="U15">
        <v>180</v>
      </c>
      <c r="V15">
        <v>196</v>
      </c>
      <c r="W15">
        <v>21600</v>
      </c>
      <c r="X15">
        <v>23520</v>
      </c>
    </row>
    <row r="16" spans="1:25" ht="14.25" customHeight="1" x14ac:dyDescent="0.2">
      <c r="A16" s="1">
        <v>15</v>
      </c>
      <c r="B16" s="1" t="s">
        <v>20</v>
      </c>
      <c r="C16" s="3">
        <v>0.13750000000000001</v>
      </c>
      <c r="D16" s="3">
        <v>0.14861111111111111</v>
      </c>
      <c r="E16" s="2">
        <v>2.2243055555555558E-3</v>
      </c>
      <c r="G16" s="5" t="s">
        <v>20</v>
      </c>
      <c r="H16" s="5">
        <v>15</v>
      </c>
      <c r="I16" s="7">
        <v>0.13750000000000001</v>
      </c>
      <c r="J16" s="7">
        <v>0.14861111111111111</v>
      </c>
      <c r="K16" s="5">
        <v>198</v>
      </c>
      <c r="L16" s="5">
        <v>214</v>
      </c>
      <c r="M16" s="5">
        <v>23760</v>
      </c>
      <c r="N16" s="5">
        <v>25680</v>
      </c>
      <c r="R16" t="s">
        <v>20</v>
      </c>
      <c r="S16" s="6">
        <v>0.13750000000000001</v>
      </c>
      <c r="T16" s="6">
        <v>0.14861111111111111</v>
      </c>
      <c r="U16">
        <v>198</v>
      </c>
      <c r="V16">
        <v>214</v>
      </c>
      <c r="W16">
        <v>23760</v>
      </c>
      <c r="X16">
        <v>25680</v>
      </c>
    </row>
    <row r="17" spans="1:23" ht="14.25" customHeight="1" x14ac:dyDescent="0.2">
      <c r="A17" s="1">
        <v>16</v>
      </c>
      <c r="B17" s="1" t="s">
        <v>21</v>
      </c>
      <c r="C17" s="3">
        <v>0.15277777777777779</v>
      </c>
      <c r="D17" s="3"/>
      <c r="E17" s="2">
        <v>2.468634259259259E-3</v>
      </c>
      <c r="G17" s="5" t="s">
        <v>21</v>
      </c>
      <c r="H17" s="5">
        <v>16</v>
      </c>
      <c r="I17" s="7">
        <v>0.15277777777777779</v>
      </c>
      <c r="J17" s="5" t="s">
        <v>27</v>
      </c>
      <c r="K17" s="5">
        <v>220</v>
      </c>
      <c r="L17" s="5" t="s">
        <v>27</v>
      </c>
      <c r="M17" s="5">
        <v>26400</v>
      </c>
      <c r="N17" s="5" t="s">
        <v>27</v>
      </c>
      <c r="R17" t="s">
        <v>21</v>
      </c>
      <c r="S17" s="6">
        <v>0.15277777777777779</v>
      </c>
      <c r="U17">
        <v>220</v>
      </c>
      <c r="W17">
        <v>26400</v>
      </c>
    </row>
    <row r="18" spans="1:23" ht="14.25" customHeight="1" x14ac:dyDescent="0.2">
      <c r="A18" s="1">
        <v>17</v>
      </c>
      <c r="B18" s="1" t="s">
        <v>22</v>
      </c>
      <c r="C18" s="3"/>
      <c r="D18" s="3">
        <v>0.17569444444444443</v>
      </c>
      <c r="E18" s="2">
        <v>2.6045138888888889E-3</v>
      </c>
      <c r="G18" s="5" t="s">
        <v>22</v>
      </c>
      <c r="H18" s="5">
        <v>17</v>
      </c>
      <c r="I18" s="5" t="s">
        <v>27</v>
      </c>
      <c r="J18" s="7">
        <v>0.17569444444444443</v>
      </c>
      <c r="K18" s="5" t="s">
        <v>27</v>
      </c>
      <c r="L18" s="5">
        <v>253</v>
      </c>
      <c r="M18" s="5" t="s">
        <v>27</v>
      </c>
      <c r="N18" s="5">
        <v>30360</v>
      </c>
    </row>
    <row r="19" spans="1:23" ht="14.25" customHeight="1" x14ac:dyDescent="0.2"/>
    <row r="20" spans="1:23" ht="14.25" customHeight="1" x14ac:dyDescent="0.2"/>
    <row r="21" spans="1:23" ht="14.25" customHeight="1" x14ac:dyDescent="0.2"/>
    <row r="22" spans="1:23" ht="14.25" customHeight="1" x14ac:dyDescent="0.2"/>
    <row r="23" spans="1:23" ht="14.25" customHeight="1" x14ac:dyDescent="0.2"/>
    <row r="24" spans="1:23" ht="14.25" customHeight="1" x14ac:dyDescent="0.2"/>
    <row r="25" spans="1:23" ht="14.25" customHeight="1" x14ac:dyDescent="0.2"/>
    <row r="26" spans="1:23" ht="14.25" customHeight="1" x14ac:dyDescent="0.2"/>
    <row r="27" spans="1:23" ht="14.25" customHeight="1" x14ac:dyDescent="0.2"/>
    <row r="28" spans="1:23" ht="14.25" customHeight="1" x14ac:dyDescent="0.2"/>
    <row r="29" spans="1:23" ht="14.25" customHeight="1" x14ac:dyDescent="0.2"/>
    <row r="30" spans="1:23" ht="14.25" customHeight="1" x14ac:dyDescent="0.2"/>
    <row r="31" spans="1:23" ht="14.25" customHeight="1" x14ac:dyDescent="0.2"/>
    <row r="32" spans="1:23" ht="14.25" customHeight="1" x14ac:dyDescent="0.2"/>
    <row r="33" spans="18:18" ht="14.25" customHeight="1" x14ac:dyDescent="0.2"/>
    <row r="34" spans="18:18" ht="14.25" customHeight="1" x14ac:dyDescent="0.2"/>
    <row r="35" spans="18:18" ht="14.25" customHeight="1" x14ac:dyDescent="0.2"/>
    <row r="36" spans="18:18" ht="14.25" customHeight="1" x14ac:dyDescent="0.2">
      <c r="R36">
        <f>(X14-W10)</f>
        <v>6720</v>
      </c>
    </row>
    <row r="37" spans="18:18" ht="14.25" customHeight="1" x14ac:dyDescent="0.2"/>
    <row r="38" spans="18:18" ht="14.25" customHeight="1" x14ac:dyDescent="0.2"/>
    <row r="39" spans="18:18" ht="14.25" customHeight="1" x14ac:dyDescent="0.2"/>
    <row r="40" spans="18:18" ht="14.25" customHeight="1" x14ac:dyDescent="0.2"/>
    <row r="41" spans="18:18" ht="14.25" customHeight="1" x14ac:dyDescent="0.2"/>
    <row r="42" spans="18:18" ht="14.25" customHeight="1" x14ac:dyDescent="0.2"/>
    <row r="43" spans="18:18" ht="14.25" customHeight="1" x14ac:dyDescent="0.2"/>
    <row r="44" spans="18:18" ht="14.25" customHeight="1" x14ac:dyDescent="0.2"/>
    <row r="45" spans="18:18" ht="14.25" customHeight="1" x14ac:dyDescent="0.2"/>
    <row r="46" spans="18:18" ht="14.25" customHeight="1" x14ac:dyDescent="0.2"/>
    <row r="47" spans="18:18" ht="14.25" customHeight="1" x14ac:dyDescent="0.2"/>
    <row r="48" spans="18:1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E11" sqref="E11"/>
    </sheetView>
  </sheetViews>
  <sheetFormatPr baseColWidth="10" defaultColWidth="12.6640625" defaultRowHeight="15" customHeight="1" x14ac:dyDescent="0.2"/>
  <cols>
    <col min="1" max="1" width="10" customWidth="1"/>
    <col min="2" max="2" width="43" customWidth="1"/>
    <col min="3" max="3" width="15.33203125" bestFit="1" customWidth="1"/>
    <col min="4" max="4" width="10.83203125" customWidth="1"/>
    <col min="5" max="5" width="11" customWidth="1"/>
    <col min="6" max="6" width="5.5" customWidth="1"/>
    <col min="7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24</v>
      </c>
      <c r="H1" s="5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4.1666666666666666E-3</v>
      </c>
      <c r="E2" s="3">
        <v>9.0277777777777769E-3</v>
      </c>
      <c r="G2">
        <v>720</v>
      </c>
      <c r="H2">
        <v>1560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1.3888888888888888E-2</v>
      </c>
      <c r="E3" s="3">
        <v>2.1527777777777778E-2</v>
      </c>
      <c r="G3">
        <v>2400</v>
      </c>
      <c r="H3">
        <v>3720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2.5000000000000001E-2</v>
      </c>
      <c r="E4" s="3">
        <v>3.3333333333333333E-2</v>
      </c>
      <c r="G4">
        <v>4320</v>
      </c>
      <c r="H4">
        <v>5760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3.9583333333333331E-2</v>
      </c>
      <c r="E5" s="3">
        <v>4.0972222222222222E-2</v>
      </c>
      <c r="G5">
        <v>6840</v>
      </c>
      <c r="H5">
        <v>7080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4.2361111111111113E-2</v>
      </c>
      <c r="E6" s="3">
        <v>4.4444444444444446E-2</v>
      </c>
      <c r="G6">
        <v>7320</v>
      </c>
      <c r="H6">
        <v>7680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5.0694444444444445E-2</v>
      </c>
      <c r="E7" s="3">
        <v>5.486111111111111E-2</v>
      </c>
      <c r="G7">
        <v>8760</v>
      </c>
      <c r="H7">
        <v>9480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5.5613425925925927E-2</v>
      </c>
      <c r="E8" s="3">
        <v>6.0416666666666667E-2</v>
      </c>
      <c r="G8">
        <v>9600</v>
      </c>
      <c r="H8">
        <v>10440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6.5972222222222224E-2</v>
      </c>
      <c r="E9" s="3">
        <v>7.7083333333333337E-2</v>
      </c>
      <c r="G9">
        <v>11400</v>
      </c>
      <c r="H9">
        <v>13320</v>
      </c>
    </row>
    <row r="10" spans="1:8" s="10" customFormat="1" ht="14.25" customHeight="1" x14ac:dyDescent="0.2">
      <c r="A10" s="12">
        <v>9</v>
      </c>
      <c r="B10" s="12" t="s">
        <v>14</v>
      </c>
      <c r="C10" s="13">
        <v>1.2975694444444445E-3</v>
      </c>
      <c r="D10" s="14">
        <v>8.1250000000000003E-2</v>
      </c>
      <c r="E10" s="14">
        <v>8.7499999999999994E-2</v>
      </c>
      <c r="G10" s="10">
        <v>14040</v>
      </c>
      <c r="H10" s="10">
        <v>15120</v>
      </c>
    </row>
    <row r="11" spans="1:8" s="10" customFormat="1" ht="14.25" customHeight="1" x14ac:dyDescent="0.2">
      <c r="A11" s="12">
        <v>10</v>
      </c>
      <c r="B11" s="12" t="s">
        <v>15</v>
      </c>
      <c r="C11" s="13">
        <v>1.4150462962962964E-3</v>
      </c>
      <c r="D11" s="14">
        <v>8.819444444444445E-2</v>
      </c>
      <c r="E11" s="14">
        <v>9.583333333333334E-2</v>
      </c>
      <c r="G11" s="10">
        <v>15240</v>
      </c>
      <c r="H11" s="10">
        <v>16560</v>
      </c>
    </row>
    <row r="12" spans="1:8" s="10" customFormat="1" ht="14.25" customHeight="1" x14ac:dyDescent="0.2">
      <c r="A12" s="12">
        <v>11</v>
      </c>
      <c r="B12" s="12" t="s">
        <v>16</v>
      </c>
      <c r="C12" s="13">
        <v>1.5515046296296297E-3</v>
      </c>
      <c r="D12" s="14">
        <v>9.6527777777777782E-2</v>
      </c>
      <c r="E12" s="14">
        <v>0.10416666666666667</v>
      </c>
      <c r="G12" s="10">
        <v>16680</v>
      </c>
      <c r="H12" s="10">
        <v>18000</v>
      </c>
    </row>
    <row r="13" spans="1:8" s="10" customFormat="1" ht="14.25" customHeight="1" x14ac:dyDescent="0.2">
      <c r="A13" s="12">
        <v>12</v>
      </c>
      <c r="B13" s="12" t="s">
        <v>17</v>
      </c>
      <c r="C13" s="13">
        <v>1.6784722222222223E-3</v>
      </c>
      <c r="D13" s="15">
        <v>0.10486111111111111</v>
      </c>
      <c r="E13" s="14">
        <v>0.1111111111111111</v>
      </c>
      <c r="G13" s="10">
        <v>18120</v>
      </c>
      <c r="H13" s="10">
        <v>19200</v>
      </c>
    </row>
    <row r="14" spans="1:8" s="10" customFormat="1" ht="14.25" customHeight="1" x14ac:dyDescent="0.2">
      <c r="A14" s="12">
        <v>13</v>
      </c>
      <c r="B14" s="12" t="s">
        <v>18</v>
      </c>
      <c r="C14" s="13">
        <v>1.783449074074074E-3</v>
      </c>
      <c r="D14" s="14">
        <v>0.11180555555555556</v>
      </c>
      <c r="E14" s="14">
        <v>0.12083333333333333</v>
      </c>
      <c r="G14" s="10">
        <v>19320</v>
      </c>
      <c r="H14" s="10">
        <v>20880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0.12361111111111112</v>
      </c>
      <c r="E15" s="3">
        <v>0.13402777777777777</v>
      </c>
      <c r="G15">
        <v>21360</v>
      </c>
      <c r="H15">
        <v>23160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0.1361111111111111</v>
      </c>
      <c r="E16" s="3">
        <v>0.14791666666666667</v>
      </c>
      <c r="G16">
        <v>23520</v>
      </c>
      <c r="H16">
        <v>25560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0.15138888888888888</v>
      </c>
      <c r="E17" s="3">
        <v>0.16388888888888889</v>
      </c>
      <c r="G17">
        <v>26160</v>
      </c>
      <c r="H17">
        <v>28320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D18" s="3">
        <v>0.16458333333333333</v>
      </c>
      <c r="E18" s="3">
        <v>0.17291666666666666</v>
      </c>
      <c r="G18">
        <v>2844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G10" sqref="G10"/>
    </sheetView>
  </sheetViews>
  <sheetFormatPr baseColWidth="10" defaultColWidth="12.6640625" defaultRowHeight="15" customHeight="1" x14ac:dyDescent="0.2"/>
  <cols>
    <col min="1" max="1" width="8.6640625" customWidth="1"/>
    <col min="2" max="2" width="21.5" customWidth="1"/>
    <col min="3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</v>
      </c>
      <c r="H1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4.1666666666666666E-3</v>
      </c>
      <c r="E2" s="3">
        <v>9.7222222222222224E-3</v>
      </c>
      <c r="G2">
        <v>720</v>
      </c>
      <c r="H2">
        <v>1680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1.3194444444444444E-2</v>
      </c>
      <c r="E3" s="3">
        <v>2.2222222222222223E-2</v>
      </c>
      <c r="G3">
        <v>2280</v>
      </c>
      <c r="H3">
        <v>3840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2.4305555555555556E-2</v>
      </c>
      <c r="E4" s="3">
        <v>3.5416666666666666E-2</v>
      </c>
      <c r="G4">
        <v>4200</v>
      </c>
      <c r="H4">
        <v>6120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3.888888888888889E-2</v>
      </c>
      <c r="E5" s="3">
        <v>4.0972222222222222E-2</v>
      </c>
      <c r="G5">
        <v>6720</v>
      </c>
      <c r="H5">
        <v>7080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4.2361111111111113E-2</v>
      </c>
      <c r="E6" s="3">
        <v>4.4444444444444446E-2</v>
      </c>
      <c r="G6">
        <v>7320</v>
      </c>
      <c r="H6">
        <v>7680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5.0057870370370371E-2</v>
      </c>
      <c r="E7" s="3">
        <v>5.486111111111111E-2</v>
      </c>
      <c r="G7">
        <v>8640</v>
      </c>
      <c r="H7">
        <v>9480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5.5555555555555552E-2</v>
      </c>
      <c r="E8" s="3">
        <v>6.0416666666666667E-2</v>
      </c>
      <c r="G8">
        <v>9600</v>
      </c>
      <c r="H8">
        <v>10440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6.5335648148148143E-2</v>
      </c>
      <c r="E9" s="3">
        <v>7.7083333333333337E-2</v>
      </c>
      <c r="G9">
        <v>11280</v>
      </c>
      <c r="H9">
        <v>13320</v>
      </c>
    </row>
    <row r="10" spans="1:8" s="10" customFormat="1" ht="14.25" customHeight="1" x14ac:dyDescent="0.2">
      <c r="A10" s="12">
        <v>9</v>
      </c>
      <c r="B10" s="12" t="s">
        <v>14</v>
      </c>
      <c r="C10" s="13">
        <v>1.2975694444444445E-3</v>
      </c>
      <c r="D10" s="14">
        <v>8.1250000000000003E-2</v>
      </c>
      <c r="E10" s="14">
        <v>8.7499999999999994E-2</v>
      </c>
      <c r="G10" s="10">
        <v>14040</v>
      </c>
      <c r="H10" s="10">
        <v>15120</v>
      </c>
    </row>
    <row r="11" spans="1:8" s="10" customFormat="1" ht="14.25" customHeight="1" x14ac:dyDescent="0.2">
      <c r="A11" s="12">
        <v>10</v>
      </c>
      <c r="B11" s="12" t="s">
        <v>15</v>
      </c>
      <c r="C11" s="13">
        <v>1.4150462962962964E-3</v>
      </c>
      <c r="D11" s="14">
        <v>8.819444444444445E-2</v>
      </c>
      <c r="E11" s="14">
        <v>9.583333333333334E-2</v>
      </c>
      <c r="G11" s="10">
        <v>15240</v>
      </c>
      <c r="H11" s="10">
        <v>16560</v>
      </c>
    </row>
    <row r="12" spans="1:8" s="10" customFormat="1" ht="14.25" customHeight="1" x14ac:dyDescent="0.2">
      <c r="A12" s="12">
        <v>11</v>
      </c>
      <c r="B12" s="12" t="s">
        <v>16</v>
      </c>
      <c r="C12" s="13">
        <v>1.5515046296296297E-3</v>
      </c>
      <c r="D12" s="14">
        <v>9.6527777777777782E-2</v>
      </c>
      <c r="E12" s="14">
        <v>0.10347222222222222</v>
      </c>
      <c r="G12" s="10">
        <v>16680</v>
      </c>
      <c r="H12" s="10">
        <v>17880</v>
      </c>
    </row>
    <row r="13" spans="1:8" s="10" customFormat="1" ht="14.25" customHeight="1" x14ac:dyDescent="0.2">
      <c r="A13" s="12">
        <v>12</v>
      </c>
      <c r="B13" s="12" t="s">
        <v>17</v>
      </c>
      <c r="C13" s="13">
        <v>1.6784722222222223E-3</v>
      </c>
      <c r="D13" s="15">
        <v>0.10416666666666667</v>
      </c>
      <c r="E13" s="14">
        <v>0.1111111111111111</v>
      </c>
      <c r="G13" s="10">
        <v>18000</v>
      </c>
      <c r="H13" s="10">
        <v>19200</v>
      </c>
    </row>
    <row r="14" spans="1:8" s="10" customFormat="1" ht="14.25" customHeight="1" x14ac:dyDescent="0.2">
      <c r="A14" s="12">
        <v>13</v>
      </c>
      <c r="B14" s="12" t="s">
        <v>18</v>
      </c>
      <c r="C14" s="13">
        <v>1.783449074074074E-3</v>
      </c>
      <c r="D14" s="14">
        <v>0.11180555555555556</v>
      </c>
      <c r="E14" s="14">
        <v>0.12361111111111112</v>
      </c>
      <c r="G14" s="10">
        <v>19320</v>
      </c>
      <c r="H14" s="10">
        <v>21360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0.12430555555555556</v>
      </c>
      <c r="E15" s="3">
        <v>0.13472222222222222</v>
      </c>
      <c r="G15">
        <v>21480</v>
      </c>
      <c r="H15">
        <v>23280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0.13680555555555557</v>
      </c>
      <c r="E16" s="3">
        <v>0.14791666666666667</v>
      </c>
      <c r="G16">
        <v>23640</v>
      </c>
      <c r="H16">
        <v>25560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0.15138888888888888</v>
      </c>
      <c r="G17">
        <v>26160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E18" s="3">
        <v>0.1736111111111111</v>
      </c>
      <c r="H18">
        <v>30000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G10" sqref="G10"/>
    </sheetView>
  </sheetViews>
  <sheetFormatPr baseColWidth="10" defaultColWidth="12.6640625" defaultRowHeight="15" customHeight="1" x14ac:dyDescent="0.2"/>
  <cols>
    <col min="1" max="1" width="8.6640625" customWidth="1"/>
    <col min="2" max="2" width="13.5" customWidth="1"/>
    <col min="3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</v>
      </c>
      <c r="H1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1.1111111111111112E-2</v>
      </c>
      <c r="E2" s="3">
        <v>1.5277777777777777E-2</v>
      </c>
      <c r="G2">
        <v>1920</v>
      </c>
      <c r="H2">
        <v>2640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2.0833333333333332E-2</v>
      </c>
      <c r="E3" s="3">
        <v>2.7083333333333334E-2</v>
      </c>
      <c r="G3">
        <v>3600</v>
      </c>
      <c r="H3">
        <v>4680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3.125E-2</v>
      </c>
      <c r="E4" s="3">
        <v>3.9583333333333331E-2</v>
      </c>
      <c r="G4">
        <v>5400</v>
      </c>
      <c r="H4">
        <v>6840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4.583333333333333E-2</v>
      </c>
      <c r="E5" s="3">
        <v>4.791666666666667E-2</v>
      </c>
      <c r="G5">
        <v>7920</v>
      </c>
      <c r="H5">
        <v>8280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4.9305555555555554E-2</v>
      </c>
      <c r="E6" s="3">
        <v>5.0694444444444445E-2</v>
      </c>
      <c r="G6">
        <v>8520</v>
      </c>
      <c r="H6">
        <v>8760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5.6944444444444443E-2</v>
      </c>
      <c r="E7" s="3">
        <v>6.1805555555555558E-2</v>
      </c>
      <c r="G7">
        <v>9840</v>
      </c>
      <c r="H7">
        <v>10680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6.25E-2</v>
      </c>
      <c r="E8" s="3">
        <v>6.6666666666666666E-2</v>
      </c>
      <c r="G8">
        <v>10800</v>
      </c>
      <c r="H8">
        <v>11520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7.2222222222222215E-2</v>
      </c>
      <c r="E9" s="3">
        <v>8.4027777777777785E-2</v>
      </c>
      <c r="G9">
        <v>12480</v>
      </c>
      <c r="H9">
        <v>14520</v>
      </c>
    </row>
    <row r="10" spans="1:8" ht="14.25" customHeight="1" x14ac:dyDescent="0.2">
      <c r="A10" s="12">
        <v>9</v>
      </c>
      <c r="B10" s="12" t="s">
        <v>14</v>
      </c>
      <c r="C10" s="13">
        <v>1.2975694444444445E-3</v>
      </c>
      <c r="D10" s="14">
        <v>8.7499999999999994E-2</v>
      </c>
      <c r="E10" s="14">
        <v>9.5138888888888884E-2</v>
      </c>
      <c r="F10" s="10"/>
      <c r="G10" s="10">
        <v>15120</v>
      </c>
      <c r="H10" s="10">
        <v>16440</v>
      </c>
    </row>
    <row r="11" spans="1:8" ht="14.25" customHeight="1" x14ac:dyDescent="0.2">
      <c r="A11" s="12">
        <v>10</v>
      </c>
      <c r="B11" s="12" t="s">
        <v>15</v>
      </c>
      <c r="C11" s="13">
        <v>1.4150462962962964E-3</v>
      </c>
      <c r="D11" s="14">
        <v>9.583333333333334E-2</v>
      </c>
      <c r="E11" s="14">
        <v>0.10277777777777777</v>
      </c>
      <c r="F11" s="10"/>
      <c r="G11" s="10">
        <v>16560</v>
      </c>
      <c r="H11" s="10">
        <v>17760</v>
      </c>
    </row>
    <row r="12" spans="1:8" ht="14.25" customHeight="1" x14ac:dyDescent="0.2">
      <c r="A12" s="12">
        <v>11</v>
      </c>
      <c r="B12" s="12" t="s">
        <v>16</v>
      </c>
      <c r="C12" s="13">
        <v>1.5515046296296297E-3</v>
      </c>
      <c r="D12" s="14">
        <v>0.10347222222222222</v>
      </c>
      <c r="E12" s="14">
        <v>0.11041666666666666</v>
      </c>
      <c r="F12" s="10"/>
      <c r="G12" s="10">
        <v>17880</v>
      </c>
      <c r="H12" s="10">
        <v>19080</v>
      </c>
    </row>
    <row r="13" spans="1:8" ht="14.25" customHeight="1" x14ac:dyDescent="0.2">
      <c r="A13" s="12">
        <v>12</v>
      </c>
      <c r="B13" s="4" t="s">
        <v>17</v>
      </c>
      <c r="C13" s="13">
        <v>1.6784722222222223E-3</v>
      </c>
      <c r="D13" s="15">
        <v>0.1111111111111111</v>
      </c>
      <c r="E13" s="14">
        <v>0.11805555555555555</v>
      </c>
      <c r="F13" s="10"/>
      <c r="G13" s="10">
        <v>19200</v>
      </c>
      <c r="H13" s="10">
        <v>20400</v>
      </c>
    </row>
    <row r="14" spans="1:8" ht="14.25" customHeight="1" x14ac:dyDescent="0.2">
      <c r="A14" s="12">
        <v>13</v>
      </c>
      <c r="B14" s="4" t="s">
        <v>18</v>
      </c>
      <c r="C14" s="13">
        <v>1.783449074074074E-3</v>
      </c>
      <c r="D14" s="14">
        <v>0.11874999999999999</v>
      </c>
      <c r="E14" s="14">
        <v>0.12847222222222221</v>
      </c>
      <c r="F14" s="10"/>
      <c r="G14" s="10">
        <v>20520</v>
      </c>
      <c r="H14" s="10">
        <v>22200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0.13194444444444445</v>
      </c>
      <c r="E15" s="3">
        <v>0.14097222222222222</v>
      </c>
      <c r="G15">
        <v>22800</v>
      </c>
      <c r="H15">
        <v>24360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0.14305555555555555</v>
      </c>
      <c r="E16" s="3">
        <v>0.15347222222222223</v>
      </c>
      <c r="G16">
        <v>24720</v>
      </c>
      <c r="H16">
        <v>26520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0.15763888888888888</v>
      </c>
      <c r="G17">
        <v>27240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E18" s="3">
        <v>0.18055555555555555</v>
      </c>
      <c r="H18">
        <v>31200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F31" sqref="F31"/>
    </sheetView>
  </sheetViews>
  <sheetFormatPr baseColWidth="10" defaultColWidth="12.6640625" defaultRowHeight="15" customHeight="1" x14ac:dyDescent="0.2"/>
  <cols>
    <col min="1" max="1" width="8.6640625" customWidth="1"/>
    <col min="2" max="2" width="14.5" customWidth="1"/>
    <col min="3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</v>
      </c>
      <c r="H1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9.7222222222222224E-3</v>
      </c>
      <c r="E2" s="3">
        <v>1.4583333333333334E-2</v>
      </c>
      <c r="G2">
        <v>1680</v>
      </c>
      <c r="H2">
        <v>2520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2.013888888888889E-2</v>
      </c>
      <c r="E3" s="3">
        <v>2.6388888888888889E-2</v>
      </c>
      <c r="G3">
        <v>3480</v>
      </c>
      <c r="H3">
        <v>4560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3.0555555555555555E-2</v>
      </c>
      <c r="E4" s="3">
        <v>3.8194444444444448E-2</v>
      </c>
      <c r="G4">
        <v>5280</v>
      </c>
      <c r="H4">
        <v>6600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4.4444444444444446E-2</v>
      </c>
      <c r="E5" s="3">
        <v>4.7222222222222221E-2</v>
      </c>
      <c r="G5">
        <v>7680</v>
      </c>
      <c r="H5">
        <v>8160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4.8611111111111112E-2</v>
      </c>
      <c r="E6" s="3">
        <v>0.05</v>
      </c>
      <c r="G6">
        <v>8400</v>
      </c>
      <c r="H6">
        <v>8640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5.6250000000000001E-2</v>
      </c>
      <c r="E7" s="3">
        <v>5.9722222222222225E-2</v>
      </c>
      <c r="G7">
        <v>9720</v>
      </c>
      <c r="H7">
        <v>10320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6.0416666666666667E-2</v>
      </c>
      <c r="E8" s="3">
        <v>6.5972222222222224E-2</v>
      </c>
      <c r="G8">
        <v>10440</v>
      </c>
      <c r="H8">
        <v>11400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7.1527777777777773E-2</v>
      </c>
      <c r="E9" s="3">
        <v>8.2638888888888887E-2</v>
      </c>
      <c r="G9">
        <v>12360</v>
      </c>
      <c r="H9">
        <v>14280</v>
      </c>
    </row>
    <row r="10" spans="1:8" s="10" customFormat="1" ht="14.25" customHeight="1" x14ac:dyDescent="0.2">
      <c r="A10" s="12">
        <v>9</v>
      </c>
      <c r="B10" s="12" t="s">
        <v>14</v>
      </c>
      <c r="C10" s="13">
        <v>1.2975694444444445E-3</v>
      </c>
      <c r="D10" s="14">
        <v>8.6805555555555552E-2</v>
      </c>
      <c r="E10" s="14">
        <v>9.375E-2</v>
      </c>
      <c r="G10" s="10">
        <v>15000</v>
      </c>
      <c r="H10" s="10">
        <v>16200</v>
      </c>
    </row>
    <row r="11" spans="1:8" s="10" customFormat="1" ht="14.25" customHeight="1" x14ac:dyDescent="0.2">
      <c r="A11" s="12">
        <v>10</v>
      </c>
      <c r="B11" s="12" t="s">
        <v>15</v>
      </c>
      <c r="C11" s="13">
        <v>1.4150462962962964E-3</v>
      </c>
      <c r="D11" s="14">
        <v>9.4444444444444442E-2</v>
      </c>
      <c r="E11" s="14">
        <v>0.10138888888888889</v>
      </c>
      <c r="G11" s="10">
        <v>16320</v>
      </c>
      <c r="H11" s="10">
        <v>17520</v>
      </c>
    </row>
    <row r="12" spans="1:8" s="10" customFormat="1" ht="14.25" customHeight="1" x14ac:dyDescent="0.2">
      <c r="A12" s="12">
        <v>11</v>
      </c>
      <c r="B12" s="12" t="s">
        <v>16</v>
      </c>
      <c r="C12" s="13">
        <v>1.5515046296296297E-3</v>
      </c>
      <c r="D12" s="14">
        <v>0.10208333333333333</v>
      </c>
      <c r="E12" s="14">
        <v>0.10902777777777778</v>
      </c>
      <c r="G12" s="10">
        <v>17640</v>
      </c>
      <c r="H12" s="10">
        <v>18840</v>
      </c>
    </row>
    <row r="13" spans="1:8" s="10" customFormat="1" ht="14.25" customHeight="1" x14ac:dyDescent="0.2">
      <c r="A13" s="12">
        <v>12</v>
      </c>
      <c r="B13" s="12" t="s">
        <v>17</v>
      </c>
      <c r="C13" s="13">
        <v>1.6784722222222223E-3</v>
      </c>
      <c r="D13" s="15">
        <v>0.10972222222222222</v>
      </c>
      <c r="E13" s="14">
        <v>0.11527777777777778</v>
      </c>
      <c r="G13" s="10">
        <v>18960</v>
      </c>
      <c r="H13" s="10">
        <v>19920</v>
      </c>
    </row>
    <row r="14" spans="1:8" s="10" customFormat="1" ht="14.25" customHeight="1" x14ac:dyDescent="0.2">
      <c r="A14" s="12">
        <v>13</v>
      </c>
      <c r="B14" s="12" t="s">
        <v>18</v>
      </c>
      <c r="C14" s="13">
        <v>1.783449074074074E-3</v>
      </c>
      <c r="D14" s="14">
        <v>0.11597222222222223</v>
      </c>
      <c r="E14" s="14">
        <v>0.12916666666666668</v>
      </c>
      <c r="G14" s="10">
        <v>20040</v>
      </c>
      <c r="H14" s="10">
        <v>22320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0.12986111111111112</v>
      </c>
      <c r="E15" s="3">
        <v>0.14027777777777778</v>
      </c>
      <c r="G15">
        <v>22440</v>
      </c>
      <c r="H15">
        <v>24240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0.1423611111111111</v>
      </c>
      <c r="E16" s="3">
        <v>0.15416666666666667</v>
      </c>
      <c r="G16">
        <v>24600</v>
      </c>
      <c r="H16">
        <v>26640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0.15694444444444444</v>
      </c>
      <c r="G17">
        <v>27120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E18" s="3">
        <v>0.17847222222222223</v>
      </c>
      <c r="H18">
        <v>30840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671 - T1P1R1</vt:lpstr>
      <vt:lpstr>671 - T1P1R2</vt:lpstr>
      <vt:lpstr>671 - T2P1R2</vt:lpstr>
      <vt:lpstr>671 - T3P1R1</vt:lpstr>
      <vt:lpstr>671 - T3P1R2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Dror Hazan</cp:lastModifiedBy>
  <dcterms:created xsi:type="dcterms:W3CDTF">2026-06-17T08:31:04Z</dcterms:created>
  <dcterms:modified xsi:type="dcterms:W3CDTF">2026-06-23T20:12:10Z</dcterms:modified>
</cp:coreProperties>
</file>